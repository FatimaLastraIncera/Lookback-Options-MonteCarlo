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atil\Documents\PARIS\Universidad\C++ Ferreira\Lookback-Options-MonteCarlo\excel\"/>
    </mc:Choice>
  </mc:AlternateContent>
  <xr:revisionPtr revIDLastSave="0" documentId="13_ncr:1_{9C1804FE-EC66-4C6E-80FE-F07D5A769D3F}" xr6:coauthVersionLast="47" xr6:coauthVersionMax="47" xr10:uidLastSave="{00000000-0000-0000-0000-000000000000}"/>
  <bookViews>
    <workbookView xWindow="-108" yWindow="-108" windowWidth="23256" windowHeight="12456" xr2:uid="{169079BE-710E-4F18-B34B-C3DB3CEE2225}"/>
  </bookViews>
  <sheets>
    <sheet name="Prices &amp; Greeks" sheetId="1" r:id="rId1"/>
    <sheet name="PriceCurve" sheetId="2" r:id="rId2"/>
    <sheet name="DeltaCurve" sheetId="3" r:id="rId3"/>
  </sheets>
  <functionGroups builtInGroupCount="19"/>
  <definedNames>
    <definedName name="DatosExternos_1" localSheetId="2">DeltaCurve!$A$1:$B$22</definedName>
    <definedName name="DatosExternos_1" localSheetId="1">PriceCurve!$A$1:$B$22</definedName>
    <definedName name="DatosExternos_10" localSheetId="1">PriceCurve!$A$1:$B$22</definedName>
    <definedName name="DatosExternos_11" localSheetId="1">PriceCurve!$A$1:$B$22</definedName>
    <definedName name="DatosExternos_12" localSheetId="1">PriceCurve!$A$1:$B$22</definedName>
    <definedName name="DatosExternos_13" localSheetId="1">PriceCurve!$A$1:$B$22</definedName>
    <definedName name="DatosExternos_14" localSheetId="1">PriceCurve!$A$1:$B$22</definedName>
    <definedName name="DatosExternos_15" localSheetId="1">PriceCurve!$A$1:$B$22</definedName>
    <definedName name="DatosExternos_16" localSheetId="1">PriceCurve!$A$1:$B$22</definedName>
    <definedName name="DatosExternos_17" localSheetId="1">PriceCurve!$A$1:$B$22</definedName>
    <definedName name="DatosExternos_18" localSheetId="1">PriceCurve!$A$1:$B$22</definedName>
    <definedName name="DatosExternos_19" localSheetId="1">PriceCurve!$A$1:$B$22</definedName>
    <definedName name="DatosExternos_2" localSheetId="2">DeltaCurve!$A$1:$B$22</definedName>
    <definedName name="DatosExternos_2" localSheetId="1">PriceCurve!$A$1:$B$22</definedName>
    <definedName name="DatosExternos_3" localSheetId="2">DeltaCurve!$A$1:$B$22</definedName>
    <definedName name="DatosExternos_3" localSheetId="1">PriceCurve!$A$1:$B$22</definedName>
    <definedName name="DatosExternos_4" localSheetId="2">DeltaCurve!$A$1:$B$22</definedName>
    <definedName name="DatosExternos_4" localSheetId="1">PriceCurve!$A$1:$B$22</definedName>
    <definedName name="DatosExternos_5" localSheetId="2">DeltaCurve!$A$1:$B$22</definedName>
    <definedName name="DatosExternos_5" localSheetId="1">PriceCurve!$A$1:$B$22</definedName>
    <definedName name="DatosExternos_6" localSheetId="2">DeltaCurve!$A$1:$B$22</definedName>
    <definedName name="DatosExternos_6" localSheetId="1">PriceCurve!$A$1:$B$22</definedName>
    <definedName name="DatosExternos_7" localSheetId="2">DeltaCurve!$A$1:$B$22</definedName>
    <definedName name="DatosExternos_7" localSheetId="1">PriceCurve!$A$1:$B$22</definedName>
    <definedName name="DatosExternos_8" localSheetId="2">DeltaCurve!$A$1:$B$22</definedName>
    <definedName name="DatosExternos_8" localSheetId="1">PriceCurve!$A$1:$B$22</definedName>
    <definedName name="DatosExternos_9" localSheetId="2">DeltaCurve!$A$1:$B$22</definedName>
    <definedName name="DatosExternos_9" localSheetId="1">PriceCurve!$A$1:$B$22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7D7085-4881-4027-A923-867A1961976B}" name="delta_curve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2" xr16:uid="{FA744FE7-3667-4E75-AB37-44A4283542A3}" name="delta_curve1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3" xr16:uid="{FEF8C4A9-167F-43B4-9B82-998751A3D65B}" name="delta_curve10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4" xr16:uid="{35216E0A-B015-4F89-B619-294A0074C5B1}" name="delta_curve11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5" xr16:uid="{FD5567ED-3576-4E0E-B5F3-3866C11C14CB}" name="delta_curve12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6" xr16:uid="{7734723C-DB5C-4183-A893-4D90DAD0C4DB}" name="delta_curve13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7" xr16:uid="{B889C487-0AAB-41B9-96E7-ED7639EA9A94}" name="delta_curve14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8" xr16:uid="{D7FEC697-A027-49D7-B1C0-84A5C2D54B72}" name="delta_curve15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9" xr16:uid="{48F47F7E-86ED-4CA9-BA2F-125194D89256}" name="delta_curve16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0" xr16:uid="{7F9783C5-0271-4AED-A9E2-461CF17A006B}" name="delta_curve17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1" xr16:uid="{E90CDE5F-9073-4399-9B8D-58D3E618D555}" name="delta_curve18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2" xr16:uid="{3CF80093-A272-4306-808F-4E3F9E6558DF}" name="delta_curve19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3" xr16:uid="{F41A38A8-7E55-4370-B17E-E2F21F59384B}" name="delta_curve2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4" xr16:uid="{3EC34540-094A-4C1E-B479-BDFA2AB61D64}" name="delta_curve3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5" xr16:uid="{A7067944-A665-41C3-AE11-1EBF0ADA0A21}" name="delta_curve4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6" xr16:uid="{A6E2BF17-9F29-453E-B45A-8948687EC6A4}" name="delta_curve5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7" xr16:uid="{E332D5E2-16C5-44C4-8B8C-C77715A8D4E8}" name="delta_curve6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8" xr16:uid="{8A6AB9B2-423A-4BBE-B602-6E55E9A6FEE2}" name="delta_curve7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19" xr16:uid="{636D61AF-7D10-4B3D-9A21-1B38F0D8C798}" name="delta_curve8" type="6" refreshedVersion="0" background="1">
    <textPr prompt="0" sourceFile="&quot;C:\Users\fatil\Documents\PARIS\Universidad\C++ Ferreira\Lookback-Options-MonteCarlo\excel\delta_curve.csv&quot;">
      <textFields>
        <textField/>
      </textFields>
    </textPr>
  </connection>
  <connection id="20" xr16:uid="{381E30B5-AD9A-4CCB-A58F-88EAC828A571}" name="delta_curve9" type="6" refreshedVersion="0" background="1">
    <textPr prompt="0" sourceFile="C:\Users\fatil\Documents\PARIS\Universidad\C++ Ferreira\Lookback-Options-MonteCarlo\excel\delta_curve.csv">
      <textFields>
        <textField/>
      </textFields>
    </textPr>
  </connection>
  <connection id="21" xr16:uid="{BF5CCB9C-E256-434B-8B1C-F15C680BCC8C}" name="price_curve" type="6" refreshedVersion="0" background="1">
    <textPr prompt="0" sourceFile="C:\Users\fatil\Documents\PARIS\Universidad\C++ Ferreira\Lookback-Options-MonteCarlo\excel\price_curve.csv">
      <textFields>
        <textField/>
      </textFields>
    </textPr>
  </connection>
  <connection id="22" xr16:uid="{7487A5B0-B1F7-424C-B5E6-C76257849CC2}" name="price_curve1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3" xr16:uid="{29AC71DE-EF45-400E-B455-3187E8620A33}" name="price_curve10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4" xr16:uid="{150CFD99-289D-4D24-AD2E-FAE4FCA7336A}" name="price_curve11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5" xr16:uid="{10E456E0-A30D-407F-964F-1BE2FB9313E6}" name="price_curve12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6" xr16:uid="{02C96DC2-E885-42AC-93A1-C5A7451452BB}" name="price_curve13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7" xr16:uid="{256B8E83-982A-4276-94D8-9A060384E53C}" name="price_curve14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28" xr16:uid="{360EE1F3-8CA8-4B29-A2E2-D7804DE7A8BA}" name="price_curve15" type="6" refreshedVersion="0" background="1">
    <textPr prompt="0" sourceFile="C:\Users\fatil\Documents\PARIS\Universidad\C++ Ferreira\Lookback-Options-MonteCarlo\excel\price_curve.csv">
      <textFields>
        <textField/>
      </textFields>
    </textPr>
  </connection>
  <connection id="29" xr16:uid="{D3E34EC6-6022-4CA8-829A-3EAB13A94110}" name="price_curve2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0" xr16:uid="{31492E06-9E66-4DB0-95D6-C8C6EDE278EF}" name="price_curve3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1" xr16:uid="{79C3EB64-79EC-48D7-9A3B-4BA83E6B4775}" name="price_curve4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2" xr16:uid="{63FC3F21-D7CB-4C52-8ADC-F4DD8BE7009C}" name="price_curve5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3" xr16:uid="{E9F2FBA6-47AE-49F6-B8A7-30A5C8CE68E4}" name="price_curve6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4" xr16:uid="{57EA48A3-4964-4650-B039-79F2F449C6FA}" name="price_curve7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5" xr16:uid="{F1A3EEF6-7E1E-443B-B582-35461381BD02}" name="price_curve8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  <connection id="36" xr16:uid="{4486EA50-439B-4C9D-AFF0-2D27C979A395}" name="price_curve9" type="6" refreshedVersion="0" background="1">
    <textPr prompt="0" sourceFile="&quot;C:\Users\fatil\Documents\PARIS\Universidad\C++ Ferreira\Lookback-Options-MonteCarlo\excel\price_curve.csv&quot;">
      <textFields>
        <textField/>
      </textFields>
    </textPr>
  </connection>
</connections>
</file>

<file path=xl/sharedStrings.xml><?xml version="1.0" encoding="utf-8"?>
<sst xmlns="http://schemas.openxmlformats.org/spreadsheetml/2006/main" count="20" uniqueCount="20">
  <si>
    <t>M2 Quantitative Finance</t>
  </si>
  <si>
    <t>Lookback option pricing library using Monte Carlo method</t>
  </si>
  <si>
    <t>Aisha Nurieva &amp; Fátima Lastra Incera</t>
  </si>
  <si>
    <t>Inputs</t>
  </si>
  <si>
    <t>Computation date (T0)</t>
  </si>
  <si>
    <t>Spot price (S0)</t>
  </si>
  <si>
    <t>Volatility (σ)</t>
  </si>
  <si>
    <t>Risk free rate at T</t>
  </si>
  <si>
    <t>Number of MC paths</t>
  </si>
  <si>
    <t>Delta</t>
  </si>
  <si>
    <t>Gamma</t>
  </si>
  <si>
    <t>Theta</t>
  </si>
  <si>
    <t>Vega</t>
  </si>
  <si>
    <t>Rho</t>
  </si>
  <si>
    <t>Maturity (T)</t>
  </si>
  <si>
    <t>Option type (1=Call, 2=Put)</t>
  </si>
  <si>
    <t>Number of time steps</t>
  </si>
  <si>
    <t>Exact Price</t>
  </si>
  <si>
    <t>MC Price</t>
  </si>
  <si>
    <t>Outputs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</si>
</sst>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SFRM1728"/>
    </font>
    <font>
      <b/>
      <sz val="17"/>
      <color theme="1"/>
      <name val="SFRM1728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4" fillId="3" borderId="5" xfId="1" applyFont="1" applyFill="1" applyBorder="1"/>
    <xf numFmtId="0" fontId="5" fillId="3" borderId="6" xfId="1" applyFont="1" applyFill="1" applyBorder="1"/>
    <xf numFmtId="0" fontId="2" fillId="3" borderId="6" xfId="1" applyFill="1" applyBorder="1"/>
    <xf numFmtId="0" fontId="2" fillId="3" borderId="7" xfId="1" applyFill="1" applyBorder="1"/>
    <xf numFmtId="0" fontId="4" fillId="3" borderId="8" xfId="1" applyFont="1" applyFill="1" applyBorder="1"/>
    <xf numFmtId="0" fontId="5" fillId="3" borderId="0" xfId="1" applyFont="1" applyFill="1"/>
    <xf numFmtId="0" fontId="2" fillId="3" borderId="0" xfId="1" applyFill="1"/>
    <xf numFmtId="0" fontId="2" fillId="3" borderId="9" xfId="1" applyFill="1" applyBorder="1"/>
    <xf numFmtId="0" fontId="3" fillId="3" borderId="10" xfId="1" applyFont="1" applyFill="1" applyBorder="1"/>
    <xf numFmtId="0" fontId="2" fillId="3" borderId="11" xfId="1" applyFill="1" applyBorder="1"/>
    <xf numFmtId="0" fontId="2" fillId="3" borderId="12" xfId="1" applyFill="1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5" fillId="0" borderId="13" xfId="1" applyFont="1" applyBorder="1" applyAlignment="1">
      <alignment horizontal="left" vertical="center"/>
    </xf>
    <xf numFmtId="0" fontId="5" fillId="0" borderId="3" xfId="1" applyFont="1" applyBorder="1" applyAlignment="1">
      <alignment horizontal="left" vertical="center"/>
    </xf>
    <xf numFmtId="14" fontId="7" fillId="0" borderId="4" xfId="1" applyNumberFormat="1" applyFont="1" applyBorder="1" applyAlignment="1">
      <alignment horizontal="center" vertical="center"/>
    </xf>
    <xf numFmtId="0" fontId="1" fillId="0" borderId="13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2" borderId="5" xfId="1" applyFont="1" applyFill="1" applyBorder="1" applyAlignment="1">
      <alignment horizontal="center" vertical="center"/>
    </xf>
    <xf numFmtId="0" fontId="6" fillId="2" borderId="7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/>
    </xf>
  </cellXfs>
  <cellStyles count="4">
    <cellStyle name="Millares 2" xfId="2" xr:uid="{6DD7B875-CE36-4AA4-A544-9A8591568197}"/>
    <cellStyle name="Normal" xfId="0" builtinId="0"/>
    <cellStyle name="Normal 2" xfId="1" xr:uid="{D625C6AC-67D6-49BC-8BB0-6B979C91CA57}"/>
    <cellStyle name="Porcentaje 2" xfId="3" xr:uid="{91CE048F-088B-49A8-AE8A-1E9472B45C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Lookback Option – Price Curve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PriceCurve!$A$1:$A$22</c:f>
              <c:numCache>
                <c:formatCode>General</c:formatCode>
                <c:ptCount val="22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1-4977-96F1-FC163007F885}"/>
            </c:ext>
          </c:extLst>
        </c:ser>
        <c:ser>
          <c:idx val="1"/>
          <c:order val="1"/>
          <c:marker>
            <c:symbol val="none"/>
          </c:marker>
          <c:val>
            <c:numRef>
              <c:f>PriceCurve!$B$1:$B$22</c:f>
              <c:numCache>
                <c:formatCode>General</c:formatCode>
                <c:ptCount val="22"/>
                <c:pt idx="0">
                  <c:v>7.6013299999999999</c:v>
                </c:pt>
                <c:pt idx="1">
                  <c:v>8.3614700000000006</c:v>
                </c:pt>
                <c:pt idx="2">
                  <c:v>9.1216000000000008</c:v>
                </c:pt>
                <c:pt idx="3">
                  <c:v>9.8817299999999992</c:v>
                </c:pt>
                <c:pt idx="4">
                  <c:v>10.6419</c:v>
                </c:pt>
                <c:pt idx="5">
                  <c:v>11.401999999999999</c:v>
                </c:pt>
                <c:pt idx="6">
                  <c:v>12.162100000000001</c:v>
                </c:pt>
                <c:pt idx="7">
                  <c:v>12.9223</c:v>
                </c:pt>
                <c:pt idx="8">
                  <c:v>13.682399999999999</c:v>
                </c:pt>
                <c:pt idx="9">
                  <c:v>14.442500000000001</c:v>
                </c:pt>
                <c:pt idx="10">
                  <c:v>15.2027</c:v>
                </c:pt>
                <c:pt idx="11">
                  <c:v>15.9628</c:v>
                </c:pt>
                <c:pt idx="12">
                  <c:v>16.722899999999999</c:v>
                </c:pt>
                <c:pt idx="13">
                  <c:v>17.4831</c:v>
                </c:pt>
                <c:pt idx="14">
                  <c:v>18.243200000000002</c:v>
                </c:pt>
                <c:pt idx="15">
                  <c:v>19.003299999999999</c:v>
                </c:pt>
                <c:pt idx="16">
                  <c:v>19.763500000000001</c:v>
                </c:pt>
                <c:pt idx="17">
                  <c:v>20.523599999999998</c:v>
                </c:pt>
                <c:pt idx="18">
                  <c:v>21.2837</c:v>
                </c:pt>
                <c:pt idx="19">
                  <c:v>22.043900000000001</c:v>
                </c:pt>
                <c:pt idx="20">
                  <c:v>22.803999999999998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91-4977-96F1-FC163007F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96624"/>
        <c:axId val="1588785584"/>
      </c:lineChart>
      <c:catAx>
        <c:axId val="158879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Spot Price S</a:t>
                </a:r>
              </a:p>
            </c:rich>
          </c:tx>
          <c:overlay val="0"/>
        </c:title>
        <c:majorTickMark val="out"/>
        <c:minorTickMark val="none"/>
        <c:tickLblPos val="nextTo"/>
        <c:crossAx val="1588785584"/>
        <c:crosses val="autoZero"/>
        <c:auto val="1"/>
        <c:lblAlgn val="ctr"/>
        <c:lblOffset val="100"/>
        <c:noMultiLvlLbl val="0"/>
      </c:catAx>
      <c:valAx>
        <c:axId val="1588785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8796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Lookback Option – Delta Curve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DeltaCurve!$A$1:$A$22</c:f>
              <c:numCache>
                <c:formatCode>General</c:formatCode>
                <c:ptCount val="22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C0-49FE-A1D5-51998802CDDA}"/>
            </c:ext>
          </c:extLst>
        </c:ser>
        <c:ser>
          <c:idx val="1"/>
          <c:order val="1"/>
          <c:marker>
            <c:symbol val="none"/>
          </c:marker>
          <c:val>
            <c:numRef>
              <c:f>DeltaCurve!$B$1:$B$22</c:f>
              <c:numCache>
                <c:formatCode>General</c:formatCode>
                <c:ptCount val="22"/>
                <c:pt idx="0">
                  <c:v>0.15216299999999999</c:v>
                </c:pt>
                <c:pt idx="1">
                  <c:v>0.15216299999999999</c:v>
                </c:pt>
                <c:pt idx="2">
                  <c:v>0.15216299999999999</c:v>
                </c:pt>
                <c:pt idx="3">
                  <c:v>0.15216299999999999</c:v>
                </c:pt>
                <c:pt idx="4">
                  <c:v>0.15216299999999999</c:v>
                </c:pt>
                <c:pt idx="5">
                  <c:v>0.15216299999999999</c:v>
                </c:pt>
                <c:pt idx="6">
                  <c:v>0.15216299999999999</c:v>
                </c:pt>
                <c:pt idx="7">
                  <c:v>0.15216299999999999</c:v>
                </c:pt>
                <c:pt idx="8">
                  <c:v>0.15216299999999999</c:v>
                </c:pt>
                <c:pt idx="9">
                  <c:v>0.15216299999999999</c:v>
                </c:pt>
                <c:pt idx="10">
                  <c:v>0.15216299999999999</c:v>
                </c:pt>
                <c:pt idx="11">
                  <c:v>0.15216299999999999</c:v>
                </c:pt>
                <c:pt idx="12">
                  <c:v>0.15216299999999999</c:v>
                </c:pt>
                <c:pt idx="13">
                  <c:v>0.15216299999999999</c:v>
                </c:pt>
                <c:pt idx="14">
                  <c:v>0.15216299999999999</c:v>
                </c:pt>
                <c:pt idx="15">
                  <c:v>0.15216299999999999</c:v>
                </c:pt>
                <c:pt idx="16">
                  <c:v>0.15216299999999999</c:v>
                </c:pt>
                <c:pt idx="17">
                  <c:v>0.15216299999999999</c:v>
                </c:pt>
                <c:pt idx="18">
                  <c:v>0.15216299999999999</c:v>
                </c:pt>
                <c:pt idx="19">
                  <c:v>0.15216299999999999</c:v>
                </c:pt>
                <c:pt idx="20">
                  <c:v>0.15216299999999999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C0-49FE-A1D5-51998802C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97584"/>
        <c:axId val="1588784624"/>
      </c:lineChart>
      <c:catAx>
        <c:axId val="158879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Spot Price S</a:t>
                </a:r>
              </a:p>
            </c:rich>
          </c:tx>
          <c:overlay val="0"/>
        </c:title>
        <c:majorTickMark val="out"/>
        <c:minorTickMark val="none"/>
        <c:tickLblPos val="nextTo"/>
        <c:crossAx val="1588784624"/>
        <c:crosses val="autoZero"/>
        <c:auto val="1"/>
        <c:lblAlgn val="ctr"/>
        <c:lblOffset val="100"/>
        <c:noMultiLvlLbl val="0"/>
      </c:catAx>
      <c:valAx>
        <c:axId val="1588784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8797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731520</xdr:colOff>
          <xdr:row>20</xdr:row>
          <xdr:rowOff>114300</xdr:rowOff>
        </xdr:from>
        <xdr:to>
          <xdr:col>7</xdr:col>
          <xdr:colOff>381000</xdr:colOff>
          <xdr:row>26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1</xdr:row>
      <xdr:rowOff>71120</xdr:rowOff>
    </xdr:from>
    <xdr:to>
      <xdr:col>15</xdr:col>
      <xdr:colOff>304800</xdr:colOff>
      <xdr:row>25</xdr:row>
      <xdr:rowOff>127000</xdr:rowOff>
    </xdr:to>
    <xdr:graphicFrame macro="">
      <xdr:nvGraphicFramePr>
        <xdr:cNvPr id="2" name="PriceChart">
          <a:extLst>
            <a:ext uri="{FF2B5EF4-FFF2-40B4-BE49-F238E27FC236}">
              <a16:creationId xmlns:a16="http://schemas.microsoft.com/office/drawing/2014/main" id="{8F1AAFC8-1F09-96FC-F731-0FE846A59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1</xdr:row>
      <xdr:rowOff>71120</xdr:rowOff>
    </xdr:from>
    <xdr:to>
      <xdr:col>15</xdr:col>
      <xdr:colOff>68580</xdr:colOff>
      <xdr:row>25</xdr:row>
      <xdr:rowOff>127000</xdr:rowOff>
    </xdr:to>
    <xdr:graphicFrame macro="">
      <xdr:nvGraphicFramePr>
        <xdr:cNvPr id="2" name="DeltaChart">
          <a:extLst>
            <a:ext uri="{FF2B5EF4-FFF2-40B4-BE49-F238E27FC236}">
              <a16:creationId xmlns:a16="http://schemas.microsoft.com/office/drawing/2014/main" id="{4788110E-467D-6672-EA29-CFB87E266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06F6F-5BD1-4A6C-98AA-DB593F9B6A64}">
  <sheetPr codeName="Hoja1"/>
  <dimension ref="C3:G35"/>
  <sheetViews>
    <sheetView tabSelected="1" topLeftCell="A11" workbookViewId="0">
      <selection activeCell="G16" sqref="G16"/>
    </sheetView>
  </sheetViews>
  <sheetFormatPr baseColWidth="10" defaultRowHeight="14.4"/>
  <cols>
    <col min="3" max="3" width="42.109375" customWidth="1"/>
    <col min="7" max="7" width="16.33203125" customWidth="1"/>
    <col min="10" max="10" width="14.21875" customWidth="1"/>
  </cols>
  <sheetData>
    <row r="3" spans="3:7" ht="15" thickBot="1"/>
    <row r="4" spans="3:7" ht="21.6">
      <c r="C4" s="1" t="s">
        <v>0</v>
      </c>
      <c r="D4" s="2"/>
      <c r="E4" s="3"/>
      <c r="F4" s="3"/>
      <c r="G4" s="4"/>
    </row>
    <row r="5" spans="3:7" ht="21.6">
      <c r="C5" s="5" t="s">
        <v>1</v>
      </c>
      <c r="D5" s="6"/>
      <c r="E5" s="7"/>
      <c r="F5" s="7"/>
      <c r="G5" s="8"/>
    </row>
    <row r="6" spans="3:7" ht="17.399999999999999" thickBot="1">
      <c r="C6" s="9" t="s">
        <v>2</v>
      </c>
      <c r="D6" s="10"/>
      <c r="E6" s="10"/>
      <c r="F6" s="10"/>
      <c r="G6" s="11"/>
    </row>
    <row r="9" spans="3:7" ht="15" thickBot="1"/>
    <row r="10" spans="3:7" ht="21">
      <c r="C10" s="19" t="s">
        <v>3</v>
      </c>
      <c r="D10" s="20"/>
    </row>
    <row r="11" spans="3:7" ht="15.6">
      <c r="C11" s="14" t="s">
        <v>5</v>
      </c>
      <c r="D11" s="13">
        <v>100</v>
      </c>
    </row>
    <row r="12" spans="3:7" ht="15.6">
      <c r="C12" s="14" t="s">
        <v>7</v>
      </c>
      <c r="D12" s="13">
        <v>0.05</v>
      </c>
    </row>
    <row r="13" spans="3:7" ht="15.6">
      <c r="C13" s="14" t="s">
        <v>6</v>
      </c>
      <c r="D13" s="13">
        <v>0.25</v>
      </c>
    </row>
    <row r="14" spans="3:7" ht="15.6">
      <c r="C14" s="14" t="s">
        <v>14</v>
      </c>
      <c r="D14" s="13">
        <v>1</v>
      </c>
    </row>
    <row r="15" spans="3:7" ht="15.6">
      <c r="C15" s="14" t="s">
        <v>15</v>
      </c>
      <c r="D15" s="13">
        <v>2</v>
      </c>
    </row>
    <row r="16" spans="3:7" ht="15.6">
      <c r="C16" s="14" t="s">
        <v>8</v>
      </c>
      <c r="D16" s="13">
        <v>1000000</v>
      </c>
    </row>
    <row r="17" spans="3:4" ht="15.6">
      <c r="C17" s="14" t="s">
        <v>16</v>
      </c>
      <c r="D17" s="13">
        <v>20</v>
      </c>
    </row>
    <row r="18" spans="3:4" ht="16.2" thickBot="1">
      <c r="C18" s="15" t="s">
        <v>4</v>
      </c>
      <c r="D18" s="16">
        <v>46092</v>
      </c>
    </row>
    <row r="27" spans="3:4" ht="15" thickBot="1"/>
    <row r="28" spans="3:4" ht="21">
      <c r="C28" s="21" t="s">
        <v>19</v>
      </c>
      <c r="D28" s="22"/>
    </row>
    <row r="29" spans="3:4">
      <c r="C29" s="17" t="s">
        <v>17</v>
      </c>
      <c r="D29" s="12">
        <v>18.723299999999998</v>
      </c>
    </row>
    <row r="30" spans="3:4">
      <c r="C30" s="17" t="s">
        <v>18</v>
      </c>
      <c r="D30" s="12">
        <v>15.2134</v>
      </c>
    </row>
    <row r="31" spans="3:4">
      <c r="C31" s="17" t="s">
        <v>9</v>
      </c>
      <c r="D31" s="12">
        <v>0.15213399999999999</v>
      </c>
    </row>
    <row r="32" spans="3:4">
      <c r="C32" s="17" t="s">
        <v>10</v>
      </c>
      <c r="D32" s="12">
        <v>-1.2789800000000001E-12</v>
      </c>
    </row>
    <row r="33" spans="3:4">
      <c r="C33" s="17" t="s">
        <v>11</v>
      </c>
      <c r="D33" s="12">
        <v>6.6367399999999996</v>
      </c>
    </row>
    <row r="34" spans="3:4">
      <c r="C34" s="17" t="s">
        <v>13</v>
      </c>
      <c r="D34" s="12">
        <v>-51.066699999999997</v>
      </c>
    </row>
    <row r="35" spans="3:4" ht="15" thickBot="1">
      <c r="C35" s="18" t="s">
        <v>12</v>
      </c>
      <c r="D35" s="12">
        <v>73.519300000000001</v>
      </c>
    </row>
  </sheetData>
  <mergeCells count="2">
    <mergeCell ref="C10:D10"/>
    <mergeCell ref="C28:D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RunLookbackPricer">
                <anchor moveWithCells="1" sizeWithCells="1">
                  <from>
                    <xdr:col>5</xdr:col>
                    <xdr:colOff>731520</xdr:colOff>
                    <xdr:row>20</xdr:row>
                    <xdr:rowOff>114300</xdr:rowOff>
                  </from>
                  <to>
                    <xdr:col>7</xdr:col>
                    <xdr:colOff>381000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E12B9-5642-408F-9477-01F1F0E2CEED}">
  <sheetPr codeName="Hoja2"/>
  <dimension ref="A1:B21"/>
  <sheetViews>
    <sheetView workbookViewId="0">
      <selection activeCell="F36" sqref="F36"/>
    </sheetView>
  </sheetViews>
  <sheetFormatPr baseColWidth="10" defaultRowHeight="14.4"/>
  <cols>
    <col min="1" max="1" width="4" bestFit="1" customWidth="1"/>
    <col min="2" max="2" width="8" bestFit="1" customWidth="1"/>
  </cols>
  <sheetData>
    <row r="1" spans="1:2">
      <c r="A1">
        <v>50</v>
      </c>
      <c r="B1">
        <v>7.6013299999999999</v>
      </c>
    </row>
    <row r="2" spans="1:2">
      <c r="A2">
        <v>55</v>
      </c>
      <c r="B2">
        <v>8.3614700000000006</v>
      </c>
    </row>
    <row r="3" spans="1:2">
      <c r="A3">
        <v>60</v>
      </c>
      <c r="B3">
        <v>9.1216000000000008</v>
      </c>
    </row>
    <row r="4" spans="1:2">
      <c r="A4">
        <v>65</v>
      </c>
      <c r="B4">
        <v>9.8817299999999992</v>
      </c>
    </row>
    <row r="5" spans="1:2">
      <c r="A5">
        <v>70</v>
      </c>
      <c r="B5">
        <v>10.6419</v>
      </c>
    </row>
    <row r="6" spans="1:2">
      <c r="A6">
        <v>75</v>
      </c>
      <c r="B6">
        <v>11.401999999999999</v>
      </c>
    </row>
    <row r="7" spans="1:2">
      <c r="A7">
        <v>80</v>
      </c>
      <c r="B7">
        <v>12.162100000000001</v>
      </c>
    </row>
    <row r="8" spans="1:2">
      <c r="A8">
        <v>85</v>
      </c>
      <c r="B8">
        <v>12.9223</v>
      </c>
    </row>
    <row r="9" spans="1:2">
      <c r="A9">
        <v>90</v>
      </c>
      <c r="B9">
        <v>13.682399999999999</v>
      </c>
    </row>
    <row r="10" spans="1:2">
      <c r="A10">
        <v>95</v>
      </c>
      <c r="B10">
        <v>14.442500000000001</v>
      </c>
    </row>
    <row r="11" spans="1:2">
      <c r="A11">
        <v>100</v>
      </c>
      <c r="B11">
        <v>15.2027</v>
      </c>
    </row>
    <row r="12" spans="1:2">
      <c r="A12">
        <v>105</v>
      </c>
      <c r="B12">
        <v>15.9628</v>
      </c>
    </row>
    <row r="13" spans="1:2">
      <c r="A13">
        <v>110</v>
      </c>
      <c r="B13">
        <v>16.722899999999999</v>
      </c>
    </row>
    <row r="14" spans="1:2">
      <c r="A14">
        <v>115</v>
      </c>
      <c r="B14">
        <v>17.4831</v>
      </c>
    </row>
    <row r="15" spans="1:2">
      <c r="A15">
        <v>120</v>
      </c>
      <c r="B15">
        <v>18.243200000000002</v>
      </c>
    </row>
    <row r="16" spans="1:2">
      <c r="A16">
        <v>125</v>
      </c>
      <c r="B16">
        <v>19.003299999999999</v>
      </c>
    </row>
    <row r="17" spans="1:2">
      <c r="A17">
        <v>130</v>
      </c>
      <c r="B17">
        <v>19.763500000000001</v>
      </c>
    </row>
    <row r="18" spans="1:2">
      <c r="A18">
        <v>135</v>
      </c>
      <c r="B18">
        <v>20.523599999999998</v>
      </c>
    </row>
    <row r="19" spans="1:2">
      <c r="A19">
        <v>140</v>
      </c>
      <c r="B19">
        <v>21.2837</v>
      </c>
    </row>
    <row r="20" spans="1:2">
      <c r="A20">
        <v>145</v>
      </c>
      <c r="B20">
        <v>22.043900000000001</v>
      </c>
    </row>
    <row r="21" spans="1:2">
      <c r="A21">
        <v>150</v>
      </c>
      <c r="B21">
        <v>22.803999999999998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D9DA-5F49-43AC-B2F0-F05DA8BE2C67}">
  <sheetPr codeName="Hoja3"/>
  <dimension ref="A1:B21"/>
  <sheetViews>
    <sheetView workbookViewId="0">
      <selection activeCell="C4" sqref="C4"/>
    </sheetView>
  </sheetViews>
  <sheetFormatPr baseColWidth="10" defaultRowHeight="14.4"/>
  <cols>
    <col min="1" max="1" width="4" bestFit="1" customWidth="1"/>
    <col min="2" max="2" width="5.44140625" bestFit="1" customWidth="1"/>
    <col min="3" max="3" width="17.5546875" customWidth="1"/>
  </cols>
  <sheetData>
    <row r="1" spans="1:2">
      <c r="A1">
        <v>50</v>
      </c>
      <c r="B1">
        <v>0.15216299999999999</v>
      </c>
    </row>
    <row r="2" spans="1:2">
      <c r="A2">
        <v>55</v>
      </c>
      <c r="B2">
        <v>0.15216299999999999</v>
      </c>
    </row>
    <row r="3" spans="1:2">
      <c r="A3">
        <v>60</v>
      </c>
      <c r="B3">
        <v>0.15216299999999999</v>
      </c>
    </row>
    <row r="4" spans="1:2">
      <c r="A4">
        <v>65</v>
      </c>
      <c r="B4">
        <v>0.15216299999999999</v>
      </c>
    </row>
    <row r="5" spans="1:2">
      <c r="A5">
        <v>70</v>
      </c>
      <c r="B5">
        <v>0.15216299999999999</v>
      </c>
    </row>
    <row r="6" spans="1:2">
      <c r="A6">
        <v>75</v>
      </c>
      <c r="B6">
        <v>0.15216299999999999</v>
      </c>
    </row>
    <row r="7" spans="1:2">
      <c r="A7">
        <v>80</v>
      </c>
      <c r="B7">
        <v>0.15216299999999999</v>
      </c>
    </row>
    <row r="8" spans="1:2">
      <c r="A8">
        <v>85</v>
      </c>
      <c r="B8">
        <v>0.15216299999999999</v>
      </c>
    </row>
    <row r="9" spans="1:2">
      <c r="A9">
        <v>90</v>
      </c>
      <c r="B9">
        <v>0.15216299999999999</v>
      </c>
    </row>
    <row r="10" spans="1:2">
      <c r="A10">
        <v>95</v>
      </c>
      <c r="B10">
        <v>0.15216299999999999</v>
      </c>
    </row>
    <row r="11" spans="1:2">
      <c r="A11">
        <v>100</v>
      </c>
      <c r="B11">
        <v>0.15216299999999999</v>
      </c>
    </row>
    <row r="12" spans="1:2">
      <c r="A12">
        <v>105</v>
      </c>
      <c r="B12">
        <v>0.15216299999999999</v>
      </c>
    </row>
    <row r="13" spans="1:2">
      <c r="A13">
        <v>110</v>
      </c>
      <c r="B13">
        <v>0.15216299999999999</v>
      </c>
    </row>
    <row r="14" spans="1:2">
      <c r="A14">
        <v>115</v>
      </c>
      <c r="B14">
        <v>0.15216299999999999</v>
      </c>
    </row>
    <row r="15" spans="1:2">
      <c r="A15">
        <v>120</v>
      </c>
      <c r="B15">
        <v>0.15216299999999999</v>
      </c>
    </row>
    <row r="16" spans="1:2">
      <c r="A16">
        <v>125</v>
      </c>
      <c r="B16">
        <v>0.15216299999999999</v>
      </c>
    </row>
    <row r="17" spans="1:2">
      <c r="A17">
        <v>130</v>
      </c>
      <c r="B17">
        <v>0.15216299999999999</v>
      </c>
    </row>
    <row r="18" spans="1:2">
      <c r="A18">
        <v>135</v>
      </c>
      <c r="B18">
        <v>0.15216299999999999</v>
      </c>
    </row>
    <row r="19" spans="1:2">
      <c r="A19">
        <v>140</v>
      </c>
      <c r="B19">
        <v>0.15216299999999999</v>
      </c>
    </row>
    <row r="20" spans="1:2">
      <c r="A20">
        <v>145</v>
      </c>
      <c r="B20">
        <v>0.15216299999999999</v>
      </c>
    </row>
    <row r="21" spans="1:2">
      <c r="A21">
        <v>150</v>
      </c>
      <c r="B21">
        <v>0.15216299999999999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CD33A8C272B5D4183DA70BCE26A3E5A" ma:contentTypeVersion="6" ma:contentTypeDescription="Crear nuevo documento." ma:contentTypeScope="" ma:versionID="e5a22056fc503c5f9197ccd00f9f63bf">
  <xsd:schema xmlns:xsd="http://www.w3.org/2001/XMLSchema" xmlns:xs="http://www.w3.org/2001/XMLSchema" xmlns:p="http://schemas.microsoft.com/office/2006/metadata/properties" xmlns:ns3="aa5655b6-b3ad-44e9-9174-84d20a51c0e8" targetNamespace="http://schemas.microsoft.com/office/2006/metadata/properties" ma:root="true" ma:fieldsID="46da2c79440243b713d2cc59468f4e06" ns3:_="">
    <xsd:import namespace="aa5655b6-b3ad-44e9-9174-84d20a51c0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5655b6-b3ad-44e9-9174-84d20a51c0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a5655b6-b3ad-44e9-9174-84d20a51c0e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8A06AF-11B1-4F17-BF91-787FF5A4DC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5655b6-b3ad-44e9-9174-84d20a51c0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C76029-E4B4-4205-8241-1EA125EFCDFD}">
  <ds:schemaRefs>
    <ds:schemaRef ds:uri="aa5655b6-b3ad-44e9-9174-84d20a51c0e8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B840B21-86DD-489A-BCBD-88F922B2DD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28</vt:i4>
      </vt:variant>
    </vt:vector>
  </HeadingPairs>
  <TitlesOfParts>
    <vt:vector size="31" baseType="lpstr">
      <vt:lpstr>Prices &amp; Greeks</vt:lpstr>
      <vt:lpstr>PriceCurve</vt:lpstr>
      <vt:lpstr>DeltaCurve</vt:lpstr>
      <vt:lpstr>DeltaCurve!DatosExternos_1</vt:lpstr>
      <vt:lpstr>PriceCurve!DatosExternos_1</vt:lpstr>
      <vt:lpstr>PriceCurve!DatosExternos_10</vt:lpstr>
      <vt:lpstr>PriceCurve!DatosExternos_11</vt:lpstr>
      <vt:lpstr>PriceCurve!DatosExternos_12</vt:lpstr>
      <vt:lpstr>PriceCurve!DatosExternos_13</vt:lpstr>
      <vt:lpstr>PriceCurve!DatosExternos_14</vt:lpstr>
      <vt:lpstr>PriceCurve!DatosExternos_15</vt:lpstr>
      <vt:lpstr>PriceCurve!DatosExternos_16</vt:lpstr>
      <vt:lpstr>PriceCurve!DatosExternos_17</vt:lpstr>
      <vt:lpstr>PriceCurve!DatosExternos_18</vt:lpstr>
      <vt:lpstr>PriceCurve!DatosExternos_19</vt:lpstr>
      <vt:lpstr>DeltaCurve!DatosExternos_2</vt:lpstr>
      <vt:lpstr>PriceCurve!DatosExternos_2</vt:lpstr>
      <vt:lpstr>DeltaCurve!DatosExternos_3</vt:lpstr>
      <vt:lpstr>PriceCurve!DatosExternos_3</vt:lpstr>
      <vt:lpstr>DeltaCurve!DatosExternos_4</vt:lpstr>
      <vt:lpstr>PriceCurve!DatosExternos_4</vt:lpstr>
      <vt:lpstr>DeltaCurve!DatosExternos_5</vt:lpstr>
      <vt:lpstr>PriceCurve!DatosExternos_5</vt:lpstr>
      <vt:lpstr>DeltaCurve!DatosExternos_6</vt:lpstr>
      <vt:lpstr>PriceCurve!DatosExternos_6</vt:lpstr>
      <vt:lpstr>DeltaCurve!DatosExternos_7</vt:lpstr>
      <vt:lpstr>PriceCurve!DatosExternos_7</vt:lpstr>
      <vt:lpstr>DeltaCurve!DatosExternos_8</vt:lpstr>
      <vt:lpstr>PriceCurve!DatosExternos_8</vt:lpstr>
      <vt:lpstr>DeltaCurve!DatosExternos_9</vt:lpstr>
      <vt:lpstr>PriceCurve!DatosExternos_9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FATIMA LASTRA INCERA</dc:creator>
  <cp:lastModifiedBy>FATIMA LASTRA INCERA</cp:lastModifiedBy>
  <dcterms:created xsi:type="dcterms:W3CDTF">2025-11-27T10:58:05Z</dcterms:created>
  <dcterms:modified xsi:type="dcterms:W3CDTF">2025-12-02T12:54:05Z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0x0101002CD33A8C272B5D4183DA70BCE26A3E5A</vt:lpwstr>
  </property>
</Properties>
</file>